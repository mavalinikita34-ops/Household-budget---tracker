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val\Downloads\nikita\"/>
    </mc:Choice>
  </mc:AlternateContent>
  <xr:revisionPtr revIDLastSave="0" documentId="13_ncr:1_{699AD292-9859-4CD0-A478-9F827975D63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onthly Data" sheetId="2" r:id="rId1"/>
    <sheet name="Pivot Analysis" sheetId="3" r:id="rId2"/>
    <sheet name="Dashboard" sheetId="1" r:id="rId3"/>
  </sheets>
  <calcPr calcId="181029"/>
</workbook>
</file>

<file path=xl/calcChain.xml><?xml version="1.0" encoding="utf-8"?>
<calcChain xmlns="http://schemas.openxmlformats.org/spreadsheetml/2006/main">
  <c r="Q6" i="1" l="1" a="1"/>
  <c r="Q6" i="1" s="1"/>
  <c r="E25" i="3"/>
  <c r="E24" i="3"/>
  <c r="E23" i="3"/>
  <c r="E22" i="3"/>
  <c r="A16" i="3"/>
  <c r="B15" i="3"/>
  <c r="A15" i="3"/>
  <c r="B14" i="3"/>
  <c r="A14" i="3"/>
  <c r="B13" i="3"/>
  <c r="A13" i="3"/>
  <c r="G12" i="3"/>
  <c r="B12" i="3"/>
  <c r="A12" i="3"/>
  <c r="G11" i="3"/>
  <c r="C11" i="3"/>
  <c r="B11" i="3"/>
  <c r="A11" i="3"/>
  <c r="G10" i="3"/>
  <c r="B10" i="3"/>
  <c r="A10" i="3"/>
  <c r="G9" i="3"/>
  <c r="C9" i="3"/>
  <c r="B9" i="3"/>
  <c r="A9" i="3"/>
  <c r="G8" i="3"/>
  <c r="B8" i="3"/>
  <c r="A8" i="3"/>
  <c r="G7" i="3"/>
  <c r="C7" i="3"/>
  <c r="B7" i="3"/>
  <c r="A7" i="3"/>
  <c r="G6" i="3"/>
  <c r="B6" i="3"/>
  <c r="A6" i="3"/>
  <c r="G5" i="3"/>
  <c r="H5" i="3" s="1"/>
  <c r="C5" i="3"/>
  <c r="B5" i="3"/>
  <c r="A5" i="3"/>
  <c r="J14" i="2"/>
  <c r="I14" i="2"/>
  <c r="H14" i="2"/>
  <c r="G14" i="2"/>
  <c r="F14" i="2"/>
  <c r="E14" i="2"/>
  <c r="D14" i="2"/>
  <c r="C14" i="2"/>
  <c r="B14" i="2"/>
  <c r="L13" i="2"/>
  <c r="M13" i="2" s="1"/>
  <c r="K13" i="2"/>
  <c r="C15" i="3" s="1"/>
  <c r="K12" i="2"/>
  <c r="C14" i="3" s="1"/>
  <c r="L11" i="2"/>
  <c r="K11" i="2"/>
  <c r="F25" i="3" s="1"/>
  <c r="K10" i="2"/>
  <c r="L10" i="2" s="1"/>
  <c r="L9" i="2"/>
  <c r="D11" i="3" s="1"/>
  <c r="K9" i="2"/>
  <c r="K8" i="2"/>
  <c r="F24" i="3" s="1"/>
  <c r="L7" i="2"/>
  <c r="D9" i="3" s="1"/>
  <c r="K7" i="2"/>
  <c r="K6" i="2"/>
  <c r="L6" i="2" s="1"/>
  <c r="L5" i="2"/>
  <c r="D7" i="3" s="1"/>
  <c r="K5" i="2"/>
  <c r="F23" i="3" s="1"/>
  <c r="K4" i="2"/>
  <c r="L4" i="2" s="1"/>
  <c r="L3" i="2"/>
  <c r="D5" i="3" s="1"/>
  <c r="K3" i="2"/>
  <c r="K2" i="2"/>
  <c r="E6" i="1" s="1"/>
  <c r="A6" i="1"/>
  <c r="H6" i="3" l="1"/>
  <c r="H10" i="3"/>
  <c r="H12" i="3"/>
  <c r="H11" i="3"/>
  <c r="H8" i="3"/>
  <c r="H9" i="3"/>
  <c r="H7" i="3"/>
  <c r="D8" i="3"/>
  <c r="M6" i="2"/>
  <c r="D6" i="3"/>
  <c r="M4" i="2"/>
  <c r="M10" i="2"/>
  <c r="D12" i="3"/>
  <c r="C6" i="3"/>
  <c r="C17" i="3" s="1"/>
  <c r="C12" i="3"/>
  <c r="G13" i="3"/>
  <c r="D15" i="3"/>
  <c r="C8" i="3"/>
  <c r="C10" i="3"/>
  <c r="L2" i="2"/>
  <c r="M3" i="2"/>
  <c r="M7" i="2"/>
  <c r="M11" i="2"/>
  <c r="K14" i="2"/>
  <c r="C16" i="3" s="1"/>
  <c r="F22" i="3"/>
  <c r="G23" i="3"/>
  <c r="C13" i="3"/>
  <c r="B16" i="3"/>
  <c r="B17" i="3" s="1"/>
  <c r="M5" i="2"/>
  <c r="L8" i="2"/>
  <c r="M9" i="2"/>
  <c r="L12" i="2"/>
  <c r="D13" i="3"/>
  <c r="D10" i="3" l="1"/>
  <c r="M8" i="2"/>
  <c r="G24" i="3"/>
  <c r="L14" i="2"/>
  <c r="G22" i="3"/>
  <c r="M6" i="1"/>
  <c r="I6" i="1"/>
  <c r="M2" i="2"/>
  <c r="D14" i="3"/>
  <c r="M12" i="2"/>
  <c r="G25" i="3"/>
  <c r="D16" i="3" l="1"/>
  <c r="D17" i="3" s="1"/>
  <c r="M14" i="2"/>
</calcChain>
</file>

<file path=xl/sharedStrings.xml><?xml version="1.0" encoding="utf-8"?>
<sst xmlns="http://schemas.openxmlformats.org/spreadsheetml/2006/main" count="62" uniqueCount="49">
  <si>
    <t>💰 Total Income</t>
  </si>
  <si>
    <t>💸 Total Expense</t>
  </si>
  <si>
    <t>🏦 Total Savings</t>
  </si>
  <si>
    <t>📈 Savings Rate</t>
  </si>
  <si>
    <t>📅 Best Month</t>
  </si>
  <si>
    <t>Month</t>
  </si>
  <si>
    <t>Income</t>
  </si>
  <si>
    <t>Rent</t>
  </si>
  <si>
    <t>Groceries</t>
  </si>
  <si>
    <t>Electricity</t>
  </si>
  <si>
    <t>Transport</t>
  </si>
  <si>
    <t>Medical</t>
  </si>
  <si>
    <t>Entertainment</t>
  </si>
  <si>
    <t>Clothing</t>
  </si>
  <si>
    <t>Misc</t>
  </si>
  <si>
    <t>Total Expense</t>
  </si>
  <si>
    <t>Savings</t>
  </si>
  <si>
    <t>Savings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</si>
  <si>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</si>
  <si>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</si>
  <si>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</si>
  <si>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</si>
  <si>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</si>
  <si>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</si>
  <si>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</si>
  <si>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</si>
  <si>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</si>
  <si>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</si>
  <si>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</si>
  <si>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</si>
  <si>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</si>
  <si>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Monthly Income vs Expense vs Savings</t>
  </si>
  <si>
    <t>Category-wise Annual Expense</t>
  </si>
  <si>
    <t>Income (₹)</t>
  </si>
  <si>
    <t>Total Expense (₹)</t>
  </si>
  <si>
    <t>Savings (₹)</t>
  </si>
  <si>
    <t>Category</t>
  </si>
  <si>
    <t>Annual Total (₹)</t>
  </si>
  <si>
    <t>Share %</t>
  </si>
  <si>
    <t>100.0%</t>
  </si>
  <si>
    <t>Quarterly Summary</t>
  </si>
  <si>
    <t>Quarter</t>
  </si>
  <si>
    <t>Expense (₹)</t>
  </si>
  <si>
    <t>Q1 (Jan-Mar)</t>
  </si>
  <si>
    <t>Q2 (Apr-Jun)</t>
  </si>
  <si>
    <t>Q3 (Jul-Sep)</t>
  </si>
  <si>
    <t>Q4 (Oct-Dec)</t>
  </si>
  <si>
    <t>📊 HOUSEHOLD BUDGET — PIVOT ANALYSIS 2025</t>
  </si>
  <si>
    <t>🏠  HOUSEHOLD BUDGET DASHBOARD  —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</si>
</sst>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name val="Calibri"/>
      <scheme val="minor"/>
    </font>
    <font>
      <sz val="11"/>
      <name val="Calibri"/>
    </font>
    <font>
      <sz val="11"/>
      <name val="Calibri"/>
    </font>
    <font>
      <b/>
      <sz val="14"/>
      <color rgb="FF006400"/>
      <name val="Arial"/>
    </font>
    <font>
      <b/>
      <sz val="14"/>
      <color rgb="FFC00000"/>
      <name val="Arial"/>
    </font>
    <font>
      <b/>
      <sz val="14"/>
      <color rgb="FF2E75B6"/>
      <name val="Arial"/>
    </font>
    <font>
      <b/>
      <sz val="14"/>
      <color rgb="FF4A4A4A"/>
      <name val="Arial"/>
    </font>
    <font>
      <b/>
      <sz val="14"/>
      <color rgb="FF1F3864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6400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6400"/>
      <name val="Arial"/>
    </font>
    <font>
      <sz val="9"/>
      <color rgb="FFC00000"/>
      <name val="Arial"/>
    </font>
    <font>
      <b/>
      <sz val="9"/>
      <color rgb="FF375623"/>
      <name val="Arial"/>
    </font>
    <font>
      <b/>
      <sz val="9"/>
      <color rgb="FF000000"/>
      <name val="Arial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3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name val="Calibri"/>
      <family val="2"/>
    </font>
    <font>
      <b/>
      <sz val="10"/>
      <color theme="1"/>
      <name val="Arial"/>
      <family val="2"/>
    </font>
    <font>
      <b/>
      <sz val="14"/>
      <color rgb="FF555555"/>
      <name val="Arial"/>
      <family val="2"/>
    </font>
    <font>
      <sz val="14"/>
      <name val="Calibri"/>
      <family val="2"/>
    </font>
    <font>
      <b/>
      <sz val="2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595959"/>
        <bgColor rgb="FF595959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EBF3FB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7" tint="0.59999389629810485"/>
        <bgColor rgb="FFE2EFDA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rgb="FF1F3864"/>
      </patternFill>
    </fill>
    <fill>
      <patternFill patternType="solid">
        <fgColor theme="7" tint="0.59999389629810485"/>
        <bgColor rgb="FF595959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0F4F8"/>
      </patternFill>
    </fill>
    <fill>
      <patternFill patternType="solid">
        <fgColor theme="7" tint="0.39997558519241921"/>
        <bgColor rgb="FF1F3864"/>
      </patternFill>
    </fill>
    <fill>
      <patternFill patternType="solid">
        <fgColor theme="7" tint="0.39997558519241921"/>
        <bgColor rgb="FFE8F5E9"/>
      </patternFill>
    </fill>
    <fill>
      <patternFill patternType="solid">
        <fgColor theme="7" tint="0.39997558519241921"/>
        <bgColor rgb="FFFFEBEE"/>
      </patternFill>
    </fill>
    <fill>
      <patternFill patternType="solid">
        <fgColor theme="7" tint="0.39997558519241921"/>
        <bgColor rgb="FFE3F2FD"/>
      </patternFill>
    </fill>
    <fill>
      <patternFill patternType="solid">
        <fgColor theme="7" tint="0.39997558519241921"/>
        <bgColor rgb="FFFFF8E1"/>
      </patternFill>
    </fill>
    <fill>
      <patternFill patternType="solid">
        <fgColor theme="7" tint="0.39997558519241921"/>
        <bgColor rgb="FFE8EAF6"/>
      </patternFill>
    </fill>
    <fill>
      <patternFill patternType="solid">
        <fgColor theme="7" tint="0.39997558519241921"/>
        <bgColor rgb="FFEBF3FB"/>
      </patternFill>
    </fill>
    <fill>
      <patternFill patternType="solid">
        <fgColor theme="7" tint="0.39997558519241921"/>
        <b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/>
      <right/>
      <top style="medium">
        <color rgb="FF2E75B6"/>
      </top>
      <bottom/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 style="medium">
        <color rgb="FF2E75B6"/>
      </left>
      <right/>
      <top/>
      <bottom/>
      <diagonal/>
    </border>
    <border>
      <left/>
      <right style="medium">
        <color rgb="FF2E75B6"/>
      </right>
      <top/>
      <bottom/>
      <diagonal/>
    </border>
    <border>
      <left style="medium">
        <color rgb="FF2E75B6"/>
      </left>
      <right/>
      <top/>
      <bottom/>
      <diagonal/>
    </border>
    <border>
      <left/>
      <right style="medium">
        <color rgb="FF2E75B6"/>
      </right>
      <top/>
      <bottom/>
      <diagonal/>
    </border>
    <border>
      <left style="medium">
        <color rgb="FF2E75B6"/>
      </left>
      <right/>
      <top/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/>
      <right style="medium">
        <color rgb="FF2E75B6"/>
      </right>
      <top/>
      <bottom style="medium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2" fillId="8" borderId="15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3" fontId="14" fillId="9" borderId="15" xfId="0" applyNumberFormat="1" applyFont="1" applyFill="1" applyBorder="1" applyAlignment="1">
      <alignment horizontal="center" vertical="center" wrapText="1"/>
    </xf>
    <xf numFmtId="3" fontId="15" fillId="9" borderId="15" xfId="0" applyNumberFormat="1" applyFont="1" applyFill="1" applyBorder="1" applyAlignment="1">
      <alignment horizontal="center" vertical="center" wrapText="1"/>
    </xf>
    <xf numFmtId="3" fontId="16" fillId="9" borderId="15" xfId="0" applyNumberFormat="1" applyFont="1" applyFill="1" applyBorder="1" applyAlignment="1">
      <alignment horizontal="center" vertical="center" wrapText="1"/>
    </xf>
    <xf numFmtId="3" fontId="14" fillId="5" borderId="15" xfId="0" applyNumberFormat="1" applyFont="1" applyFill="1" applyBorder="1" applyAlignment="1">
      <alignment horizontal="center" vertical="center" wrapText="1"/>
    </xf>
    <xf numFmtId="3" fontId="15" fillId="5" borderId="15" xfId="0" applyNumberFormat="1" applyFont="1" applyFill="1" applyBorder="1" applyAlignment="1">
      <alignment horizontal="center" vertical="center" wrapText="1"/>
    </xf>
    <xf numFmtId="3" fontId="16" fillId="5" borderId="15" xfId="0" applyNumberFormat="1" applyFont="1" applyFill="1" applyBorder="1" applyAlignment="1">
      <alignment horizontal="center" vertical="center" wrapText="1"/>
    </xf>
    <xf numFmtId="3" fontId="14" fillId="4" borderId="15" xfId="0" applyNumberFormat="1" applyFont="1" applyFill="1" applyBorder="1" applyAlignment="1">
      <alignment horizontal="center" vertical="center" wrapText="1"/>
    </xf>
    <xf numFmtId="3" fontId="15" fillId="4" borderId="15" xfId="0" applyNumberFormat="1" applyFont="1" applyFill="1" applyBorder="1" applyAlignment="1">
      <alignment horizontal="center" vertical="center" wrapText="1"/>
    </xf>
    <xf numFmtId="3" fontId="16" fillId="4" borderId="15" xfId="0" applyNumberFormat="1" applyFont="1" applyFill="1" applyBorder="1" applyAlignment="1">
      <alignment horizontal="center" vertical="center" wrapText="1"/>
    </xf>
    <xf numFmtId="3" fontId="14" fillId="11" borderId="15" xfId="0" applyNumberFormat="1" applyFont="1" applyFill="1" applyBorder="1" applyAlignment="1">
      <alignment horizontal="center" vertical="center" wrapText="1"/>
    </xf>
    <xf numFmtId="3" fontId="15" fillId="11" borderId="15" xfId="0" applyNumberFormat="1" applyFont="1" applyFill="1" applyBorder="1" applyAlignment="1">
      <alignment horizontal="center" vertical="center" wrapText="1"/>
    </xf>
    <xf numFmtId="3" fontId="16" fillId="11" borderId="15" xfId="0" applyNumberFormat="1" applyFont="1" applyFill="1" applyBorder="1" applyAlignment="1">
      <alignment horizontal="center" vertical="center" wrapText="1"/>
    </xf>
    <xf numFmtId="0" fontId="9" fillId="16" borderId="19" xfId="0" applyFont="1" applyFill="1" applyBorder="1" applyAlignment="1">
      <alignment horizontal="center" vertical="center" wrapText="1"/>
    </xf>
    <xf numFmtId="0" fontId="10" fillId="16" borderId="19" xfId="0" applyFont="1" applyFill="1" applyBorder="1" applyAlignment="1">
      <alignment horizontal="center" vertical="center" wrapText="1"/>
    </xf>
    <xf numFmtId="0" fontId="11" fillId="17" borderId="19" xfId="0" applyFont="1" applyFill="1" applyBorder="1" applyAlignment="1">
      <alignment horizontal="center" vertical="center" wrapText="1"/>
    </xf>
    <xf numFmtId="0" fontId="10" fillId="18" borderId="19" xfId="0" applyFont="1" applyFill="1" applyBorder="1" applyAlignment="1">
      <alignment horizontal="center" vertical="center" wrapText="1"/>
    </xf>
    <xf numFmtId="164" fontId="9" fillId="16" borderId="19" xfId="0" applyNumberFormat="1" applyFont="1" applyFill="1" applyBorder="1" applyAlignment="1">
      <alignment horizontal="center" vertical="center" wrapText="1"/>
    </xf>
    <xf numFmtId="0" fontId="9" fillId="19" borderId="19" xfId="0" applyFont="1" applyFill="1" applyBorder="1" applyAlignment="1">
      <alignment horizontal="center" vertical="center" wrapText="1"/>
    </xf>
    <xf numFmtId="0" fontId="10" fillId="19" borderId="19" xfId="0" applyFont="1" applyFill="1" applyBorder="1" applyAlignment="1">
      <alignment horizontal="center" vertical="center" wrapText="1"/>
    </xf>
    <xf numFmtId="164" fontId="9" fillId="19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3" fontId="8" fillId="7" borderId="19" xfId="0" applyNumberFormat="1" applyFont="1" applyFill="1" applyBorder="1" applyAlignment="1">
      <alignment horizontal="center" vertical="center" wrapText="1"/>
    </xf>
    <xf numFmtId="164" fontId="8" fillId="7" borderId="19" xfId="0" applyNumberFormat="1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0" fillId="22" borderId="0" xfId="0" applyFill="1"/>
    <xf numFmtId="0" fontId="2" fillId="23" borderId="4" xfId="0" applyFont="1" applyFill="1" applyBorder="1"/>
    <xf numFmtId="0" fontId="0" fillId="22" borderId="18" xfId="0" applyFill="1" applyBorder="1"/>
    <xf numFmtId="0" fontId="9" fillId="30" borderId="19" xfId="0" applyFont="1" applyFill="1" applyBorder="1" applyAlignment="1">
      <alignment horizontal="center" vertical="center" wrapText="1"/>
    </xf>
    <xf numFmtId="0" fontId="9" fillId="31" borderId="19" xfId="0" applyFont="1" applyFill="1" applyBorder="1" applyAlignment="1">
      <alignment horizontal="center" vertical="center" wrapText="1"/>
    </xf>
    <xf numFmtId="0" fontId="26" fillId="21" borderId="20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3" fontId="14" fillId="3" borderId="20" xfId="0" applyNumberFormat="1" applyFont="1" applyFill="1" applyBorder="1" applyAlignment="1">
      <alignment horizontal="center" vertical="center" wrapText="1"/>
    </xf>
    <xf numFmtId="3" fontId="15" fillId="3" borderId="20" xfId="0" applyNumberFormat="1" applyFont="1" applyFill="1" applyBorder="1" applyAlignment="1">
      <alignment horizontal="center" vertical="center" wrapText="1"/>
    </xf>
    <xf numFmtId="3" fontId="16" fillId="3" borderId="20" xfId="0" applyNumberFormat="1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3" fontId="13" fillId="9" borderId="20" xfId="0" applyNumberFormat="1" applyFont="1" applyFill="1" applyBorder="1" applyAlignment="1">
      <alignment horizontal="center" vertical="center" wrapText="1"/>
    </xf>
    <xf numFmtId="164" fontId="13" fillId="9" borderId="20" xfId="0" applyNumberFormat="1" applyFont="1" applyFill="1" applyBorder="1" applyAlignment="1">
      <alignment horizontal="center" vertical="center" wrapText="1"/>
    </xf>
    <xf numFmtId="0" fontId="17" fillId="10" borderId="20" xfId="0" applyFont="1" applyFill="1" applyBorder="1" applyAlignment="1">
      <alignment horizontal="center" vertical="center" wrapText="1"/>
    </xf>
    <xf numFmtId="3" fontId="13" fillId="10" borderId="20" xfId="0" applyNumberFormat="1" applyFont="1" applyFill="1" applyBorder="1" applyAlignment="1">
      <alignment horizontal="center" vertical="center" wrapText="1"/>
    </xf>
    <xf numFmtId="164" fontId="13" fillId="10" borderId="20" xfId="0" applyNumberFormat="1" applyFont="1" applyFill="1" applyBorder="1" applyAlignment="1">
      <alignment horizontal="center" vertical="center" wrapText="1"/>
    </xf>
    <xf numFmtId="0" fontId="17" fillId="11" borderId="20" xfId="0" applyFont="1" applyFill="1" applyBorder="1" applyAlignment="1">
      <alignment horizontal="center" vertical="center" wrapText="1"/>
    </xf>
    <xf numFmtId="3" fontId="13" fillId="11" borderId="20" xfId="0" applyNumberFormat="1" applyFont="1" applyFill="1" applyBorder="1" applyAlignment="1">
      <alignment horizontal="center" vertical="center" wrapText="1"/>
    </xf>
    <xf numFmtId="164" fontId="13" fillId="11" borderId="20" xfId="0" applyNumberFormat="1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3" fontId="13" fillId="4" borderId="20" xfId="0" applyNumberFormat="1" applyFont="1" applyFill="1" applyBorder="1" applyAlignment="1">
      <alignment horizontal="center" vertical="center" wrapText="1"/>
    </xf>
    <xf numFmtId="164" fontId="13" fillId="4" borderId="20" xfId="0" applyNumberFormat="1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3" fontId="13" fillId="5" borderId="20" xfId="0" applyNumberFormat="1" applyFont="1" applyFill="1" applyBorder="1" applyAlignment="1">
      <alignment horizontal="center" vertical="center" wrapText="1"/>
    </xf>
    <xf numFmtId="164" fontId="13" fillId="5" borderId="20" xfId="0" applyNumberFormat="1" applyFont="1" applyFill="1" applyBorder="1" applyAlignment="1">
      <alignment horizontal="center" vertical="center" wrapText="1"/>
    </xf>
    <xf numFmtId="0" fontId="17" fillId="12" borderId="20" xfId="0" applyFont="1" applyFill="1" applyBorder="1" applyAlignment="1">
      <alignment horizontal="center" vertical="center" wrapText="1"/>
    </xf>
    <xf numFmtId="3" fontId="13" fillId="12" borderId="20" xfId="0" applyNumberFormat="1" applyFont="1" applyFill="1" applyBorder="1" applyAlignment="1">
      <alignment horizontal="center" vertical="center" wrapText="1"/>
    </xf>
    <xf numFmtId="164" fontId="13" fillId="12" borderId="20" xfId="0" applyNumberFormat="1" applyFont="1" applyFill="1" applyBorder="1" applyAlignment="1">
      <alignment horizontal="center" vertical="center" wrapText="1"/>
    </xf>
    <xf numFmtId="0" fontId="17" fillId="13" borderId="20" xfId="0" applyFont="1" applyFill="1" applyBorder="1" applyAlignment="1">
      <alignment horizontal="center" vertical="center" wrapText="1"/>
    </xf>
    <xf numFmtId="3" fontId="13" fillId="13" borderId="20" xfId="0" applyNumberFormat="1" applyFont="1" applyFill="1" applyBorder="1" applyAlignment="1">
      <alignment horizontal="center" vertical="center" wrapText="1"/>
    </xf>
    <xf numFmtId="164" fontId="13" fillId="13" borderId="20" xfId="0" applyNumberFormat="1" applyFont="1" applyFill="1" applyBorder="1" applyAlignment="1">
      <alignment horizontal="center" vertical="center" wrapText="1"/>
    </xf>
    <xf numFmtId="0" fontId="23" fillId="7" borderId="16" xfId="0" applyFont="1" applyFill="1" applyBorder="1" applyAlignment="1">
      <alignment horizontal="center" vertical="center" wrapText="1"/>
    </xf>
    <xf numFmtId="0" fontId="19" fillId="0" borderId="17" xfId="0" applyFont="1" applyBorder="1"/>
    <xf numFmtId="0" fontId="19" fillId="0" borderId="18" xfId="0" applyFont="1" applyBorder="1"/>
    <xf numFmtId="0" fontId="24" fillId="7" borderId="16" xfId="0" applyFont="1" applyFill="1" applyBorder="1" applyAlignment="1">
      <alignment horizontal="center" vertical="center" wrapText="1"/>
    </xf>
    <xf numFmtId="0" fontId="25" fillId="0" borderId="17" xfId="0" applyFont="1" applyBorder="1"/>
    <xf numFmtId="0" fontId="25" fillId="0" borderId="18" xfId="0" applyFont="1" applyBorder="1"/>
    <xf numFmtId="0" fontId="21" fillId="20" borderId="16" xfId="0" applyFont="1" applyFill="1" applyBorder="1" applyAlignment="1">
      <alignment horizontal="center" vertical="center" wrapText="1"/>
    </xf>
    <xf numFmtId="0" fontId="18" fillId="15" borderId="17" xfId="0" applyFont="1" applyFill="1" applyBorder="1"/>
    <xf numFmtId="0" fontId="18" fillId="15" borderId="18" xfId="0" applyFont="1" applyFill="1" applyBorder="1"/>
    <xf numFmtId="0" fontId="29" fillId="24" borderId="1" xfId="0" applyFont="1" applyFill="1" applyBorder="1" applyAlignment="1">
      <alignment horizontal="left" vertical="center"/>
    </xf>
    <xf numFmtId="3" fontId="3" fillId="25" borderId="10" xfId="0" applyNumberFormat="1" applyFont="1" applyFill="1" applyBorder="1" applyAlignment="1">
      <alignment horizontal="left" vertical="center"/>
    </xf>
    <xf numFmtId="0" fontId="1" fillId="14" borderId="2" xfId="0" applyFont="1" applyFill="1" applyBorder="1" applyAlignment="1">
      <alignment horizontal="left" vertical="center"/>
    </xf>
    <xf numFmtId="0" fontId="1" fillId="14" borderId="11" xfId="0" applyFont="1" applyFill="1" applyBorder="1" applyAlignment="1">
      <alignment horizontal="left" vertical="center"/>
    </xf>
    <xf numFmtId="0" fontId="1" fillId="14" borderId="12" xfId="0" applyFont="1" applyFill="1" applyBorder="1" applyAlignment="1">
      <alignment horizontal="left" vertical="center"/>
    </xf>
    <xf numFmtId="0" fontId="1" fillId="14" borderId="13" xfId="0" applyFont="1" applyFill="1" applyBorder="1" applyAlignment="1">
      <alignment horizontal="left" vertical="center"/>
    </xf>
    <xf numFmtId="0" fontId="1" fillId="14" borderId="14" xfId="0" applyFont="1" applyFill="1" applyBorder="1" applyAlignment="1">
      <alignment horizontal="left" vertical="center"/>
    </xf>
    <xf numFmtId="0" fontId="27" fillId="25" borderId="5" xfId="0" applyFont="1" applyFill="1" applyBorder="1" applyAlignment="1">
      <alignment horizontal="left" vertical="center"/>
    </xf>
    <xf numFmtId="0" fontId="28" fillId="14" borderId="6" xfId="0" applyFont="1" applyFill="1" applyBorder="1" applyAlignment="1">
      <alignment horizontal="left" vertical="center"/>
    </xf>
    <xf numFmtId="0" fontId="28" fillId="14" borderId="7" xfId="0" applyFont="1" applyFill="1" applyBorder="1" applyAlignment="1">
      <alignment horizontal="left" vertical="center"/>
    </xf>
    <xf numFmtId="0" fontId="28" fillId="14" borderId="8" xfId="0" applyFont="1" applyFill="1" applyBorder="1" applyAlignment="1">
      <alignment horizontal="left" vertical="center"/>
    </xf>
    <xf numFmtId="0" fontId="28" fillId="14" borderId="3" xfId="0" applyFont="1" applyFill="1" applyBorder="1" applyAlignment="1">
      <alignment horizontal="left" vertical="center"/>
    </xf>
    <xf numFmtId="0" fontId="28" fillId="14" borderId="9" xfId="0" applyFont="1" applyFill="1" applyBorder="1" applyAlignment="1">
      <alignment horizontal="left" vertical="center"/>
    </xf>
    <xf numFmtId="0" fontId="27" fillId="26" borderId="5" xfId="0" applyFont="1" applyFill="1" applyBorder="1" applyAlignment="1">
      <alignment horizontal="left" vertical="center"/>
    </xf>
    <xf numFmtId="3" fontId="4" fillId="26" borderId="10" xfId="0" applyNumberFormat="1" applyFont="1" applyFill="1" applyBorder="1" applyAlignment="1">
      <alignment horizontal="left" vertical="center"/>
    </xf>
    <xf numFmtId="0" fontId="27" fillId="27" borderId="5" xfId="0" applyFont="1" applyFill="1" applyBorder="1" applyAlignment="1">
      <alignment horizontal="left" vertical="center"/>
    </xf>
    <xf numFmtId="3" fontId="5" fillId="27" borderId="10" xfId="0" applyNumberFormat="1" applyFont="1" applyFill="1" applyBorder="1" applyAlignment="1">
      <alignment horizontal="left" vertical="center"/>
    </xf>
    <xf numFmtId="164" fontId="6" fillId="28" borderId="10" xfId="0" applyNumberFormat="1" applyFont="1" applyFill="1" applyBorder="1" applyAlignment="1">
      <alignment horizontal="left" vertical="center"/>
    </xf>
    <xf numFmtId="0" fontId="27" fillId="29" borderId="5" xfId="0" applyFont="1" applyFill="1" applyBorder="1" applyAlignment="1">
      <alignment horizontal="left" vertical="center"/>
    </xf>
    <xf numFmtId="49" fontId="7" fillId="29" borderId="10" xfId="0" applyNumberFormat="1" applyFont="1" applyFill="1" applyBorder="1" applyAlignment="1">
      <alignment horizontal="left" vertical="center"/>
    </xf>
    <xf numFmtId="0" fontId="27" fillId="28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 b="1">
                <a:solidFill>
                  <a:schemeClr val="tx1"/>
                </a:solidFill>
              </a:defRPr>
            </a:pPr>
            <a:r>
              <a:rPr lang="en-US" sz="1600" b="1">
                <a:solidFill>
                  <a:schemeClr val="tx1"/>
                </a:solidFill>
              </a:rPr>
              <a:t>Monthly Income vs Expense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Data'!$B$1</c:f>
              <c:strCache>
                <c:ptCount val="1"/>
                <c:pt idx="0">
                  <c:v>Income</c:v>
                </c:pt>
              </c:strCache>
            </c:strRef>
          </c:tx>
          <c:spPr>
            <a:ln w="25400" cap="flat" cmpd="sng" algn="ctr">
              <a:solidFill>
                <a:schemeClr val="accent4">
                  <a:shade val="15000"/>
                </a:schemeClr>
              </a:solidFill>
              <a:prstDash val="solid"/>
            </a:ln>
            <a:effectLst/>
          </c:spPr>
          <c:marker>
            <c:symbol val="none"/>
          </c:marker>
          <c:cat>
            <c:strRef>
              <c:f>'Monthly Data'!$A$2:$A$13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Data'!$B$2:$B$13</c:f>
              <c:numCache>
                <c:formatCode>General</c:formatCode>
                <c:ptCount val="12"/>
                <c:pt idx="0">
                  <c:v>28500</c:v>
                </c:pt>
                <c:pt idx="1">
                  <c:v>28500</c:v>
                </c:pt>
                <c:pt idx="2">
                  <c:v>28500</c:v>
                </c:pt>
                <c:pt idx="3">
                  <c:v>29000</c:v>
                </c:pt>
                <c:pt idx="4">
                  <c:v>29000</c:v>
                </c:pt>
                <c:pt idx="5">
                  <c:v>29000</c:v>
                </c:pt>
                <c:pt idx="6">
                  <c:v>29500</c:v>
                </c:pt>
                <c:pt idx="7">
                  <c:v>29500</c:v>
                </c:pt>
                <c:pt idx="8">
                  <c:v>29500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0-4C5E-93F2-096261F37DFF}"/>
            </c:ext>
          </c:extLst>
        </c:ser>
        <c:ser>
          <c:idx val="1"/>
          <c:order val="1"/>
          <c:tx>
            <c:strRef>
              <c:f>'Monthly Data'!$K$1</c:f>
              <c:strCache>
                <c:ptCount val="1"/>
                <c:pt idx="0">
                  <c:v>Total Expense</c:v>
                </c:pt>
              </c:strCache>
            </c:strRef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cat>
            <c:strRef>
              <c:f>'Monthly Data'!$A$2:$A$13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Data'!$K$2:$K$13</c:f>
              <c:numCache>
                <c:formatCode>General</c:formatCode>
                <c:ptCount val="12"/>
                <c:pt idx="0">
                  <c:v>16950</c:v>
                </c:pt>
                <c:pt idx="1">
                  <c:v>17750</c:v>
                </c:pt>
                <c:pt idx="2">
                  <c:v>16100</c:v>
                </c:pt>
                <c:pt idx="3">
                  <c:v>18400</c:v>
                </c:pt>
                <c:pt idx="4">
                  <c:v>20600</c:v>
                </c:pt>
                <c:pt idx="5">
                  <c:v>17150</c:v>
                </c:pt>
                <c:pt idx="6">
                  <c:v>17700</c:v>
                </c:pt>
                <c:pt idx="7">
                  <c:v>20350</c:v>
                </c:pt>
                <c:pt idx="8">
                  <c:v>20500</c:v>
                </c:pt>
                <c:pt idx="9">
                  <c:v>20700</c:v>
                </c:pt>
                <c:pt idx="10">
                  <c:v>21100</c:v>
                </c:pt>
                <c:pt idx="1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0-4C5E-93F2-096261F37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518337"/>
        <c:axId val="891061157"/>
      </c:lineChart>
      <c:catAx>
        <c:axId val="959518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891061157"/>
        <c:crosses val="autoZero"/>
        <c:auto val="1"/>
        <c:lblAlgn val="ctr"/>
        <c:lblOffset val="100"/>
        <c:noMultiLvlLbl val="1"/>
      </c:catAx>
      <c:valAx>
        <c:axId val="891061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959518337"/>
        <c:crosses val="autoZero"/>
        <c:crossBetween val="between"/>
      </c:valAx>
      <c:spPr>
        <a:solidFill>
          <a:schemeClr val="accent4">
            <a:lumMod val="75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spPr>
    <a:solidFill>
      <a:schemeClr val="accent4">
        <a:lumMod val="60000"/>
        <a:lumOff val="40000"/>
      </a:schemeClr>
    </a:solidFill>
    <a:ln>
      <a:solidFill>
        <a:schemeClr val="accent4">
          <a:lumMod val="20000"/>
          <a:lumOff val="80000"/>
        </a:schemeClr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 b="1">
                <a:solidFill>
                  <a:schemeClr val="tx1"/>
                </a:solidFill>
              </a:defRPr>
            </a:pPr>
            <a:r>
              <a:rPr lang="en-US" sz="1600" b="1">
                <a:solidFill>
                  <a:schemeClr val="tx1"/>
                </a:solidFill>
              </a:rPr>
              <a:t>Monthly Savings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Data'!$L$1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rgbClr val="40315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'Monthly Data'!$A$2:$A$13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Data'!$L$2:$L$13</c:f>
              <c:numCache>
                <c:formatCode>General</c:formatCode>
                <c:ptCount val="12"/>
                <c:pt idx="0">
                  <c:v>11550</c:v>
                </c:pt>
                <c:pt idx="1">
                  <c:v>10750</c:v>
                </c:pt>
                <c:pt idx="2">
                  <c:v>12400</c:v>
                </c:pt>
                <c:pt idx="3">
                  <c:v>10600</c:v>
                </c:pt>
                <c:pt idx="4">
                  <c:v>8400</c:v>
                </c:pt>
                <c:pt idx="5">
                  <c:v>11850</c:v>
                </c:pt>
                <c:pt idx="6">
                  <c:v>11800</c:v>
                </c:pt>
                <c:pt idx="7">
                  <c:v>9150</c:v>
                </c:pt>
                <c:pt idx="8">
                  <c:v>9000</c:v>
                </c:pt>
                <c:pt idx="9">
                  <c:v>9300</c:v>
                </c:pt>
                <c:pt idx="10">
                  <c:v>8900</c:v>
                </c:pt>
                <c:pt idx="11">
                  <c:v>8500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D1-4A9E-A3D9-6D8D29C7D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07347"/>
        <c:axId val="1815231292"/>
      </c:barChart>
      <c:catAx>
        <c:axId val="73707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815231292"/>
        <c:crosses val="autoZero"/>
        <c:auto val="1"/>
        <c:lblAlgn val="ctr"/>
        <c:lblOffset val="100"/>
        <c:noMultiLvlLbl val="1"/>
      </c:catAx>
      <c:valAx>
        <c:axId val="1815231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Savings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73707347"/>
        <c:crosses val="autoZero"/>
        <c:crossBetween val="between"/>
      </c:valAx>
      <c:spPr>
        <a:solidFill>
          <a:schemeClr val="accent4">
            <a:lumMod val="60000"/>
            <a:lumOff val="40000"/>
          </a:schemeClr>
        </a:solidFill>
      </c:spPr>
    </c:plotArea>
    <c:legend>
      <c:legendPos val="b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1"/>
  </c:chart>
  <c:spPr>
    <a:solidFill>
      <a:schemeClr val="accent4">
        <a:lumMod val="60000"/>
        <a:lumOff val="40000"/>
      </a:schemeClr>
    </a:solidFill>
    <a:ln>
      <a:solidFill>
        <a:schemeClr val="accent4">
          <a:lumMod val="20000"/>
          <a:lumOff val="80000"/>
        </a:schemeClr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tx1"/>
                </a:solidFill>
                <a:latin typeface="+mn-lt"/>
              </a:defRPr>
            </a:pPr>
            <a:r>
              <a:rPr lang="en-US" sz="1600" b="1" i="0">
                <a:solidFill>
                  <a:schemeClr val="tx1"/>
                </a:solidFill>
                <a:latin typeface="+mn-lt"/>
              </a:rPr>
              <a:t>Annual Expense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Analysis'!$G$4</c:f>
              <c:strCache>
                <c:ptCount val="1"/>
                <c:pt idx="0">
                  <c:v>Annual Total (₹)</c:v>
                </c:pt>
              </c:strCache>
            </c:strRef>
          </c:tx>
          <c:dPt>
            <c:idx val="0"/>
            <c:bubble3D val="0"/>
            <c:spPr>
              <a:solidFill>
                <a:srgbClr val="1F3864"/>
              </a:solidFill>
            </c:spPr>
            <c:extLst>
              <c:ext xmlns:c16="http://schemas.microsoft.com/office/drawing/2014/chart" uri="{C3380CC4-5D6E-409C-BE32-E72D297353CC}">
                <c16:uniqueId val="{00000001-3151-474C-ACB3-1375791E4357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</c:spPr>
            <c:extLst>
              <c:ext xmlns:c16="http://schemas.microsoft.com/office/drawing/2014/chart" uri="{C3380CC4-5D6E-409C-BE32-E72D297353CC}">
                <c16:uniqueId val="{00000003-3151-474C-ACB3-1375791E4357}"/>
              </c:ext>
            </c:extLst>
          </c:dPt>
          <c:dPt>
            <c:idx val="2"/>
            <c:bubble3D val="0"/>
            <c:spPr>
              <a:solidFill>
                <a:srgbClr val="BDD7EE"/>
              </a:solidFill>
            </c:spPr>
            <c:extLst>
              <c:ext xmlns:c16="http://schemas.microsoft.com/office/drawing/2014/chart" uri="{C3380CC4-5D6E-409C-BE32-E72D297353CC}">
                <c16:uniqueId val="{00000005-3151-474C-ACB3-1375791E4357}"/>
              </c:ext>
            </c:extLst>
          </c:dPt>
          <c:dPt>
            <c:idx val="3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7-3151-474C-ACB3-1375791E4357}"/>
              </c:ext>
            </c:extLst>
          </c:dPt>
          <c:dPt>
            <c:idx val="4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9-3151-474C-ACB3-1375791E4357}"/>
              </c:ext>
            </c:extLst>
          </c:dPt>
          <c:dPt>
            <c:idx val="5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3151-474C-ACB3-1375791E4357}"/>
              </c:ext>
            </c:extLst>
          </c:dPt>
          <c:dPt>
            <c:idx val="6"/>
            <c:bubble3D val="0"/>
            <c:spPr>
              <a:solidFill>
                <a:srgbClr val="A9D18E"/>
              </a:solidFill>
            </c:spPr>
            <c:extLst>
              <c:ext xmlns:c16="http://schemas.microsoft.com/office/drawing/2014/chart" uri="{C3380CC4-5D6E-409C-BE32-E72D297353CC}">
                <c16:uniqueId val="{0000000D-3151-474C-ACB3-1375791E4357}"/>
              </c:ext>
            </c:extLst>
          </c:dPt>
          <c:dPt>
            <c:idx val="7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3151-474C-ACB3-1375791E4357}"/>
              </c:ext>
            </c:extLst>
          </c:dPt>
          <c:cat>
            <c:strRef>
              <c:f>'Pivot Analysis'!$F$5:$F$12</c:f>
              <c:strCache>
                <c:ptCount val="8"/>
                <c:pt idx="0">
                  <c:v>Rent</c:v>
                </c:pt>
                <c:pt idx="1">
                  <c:v>Groceries</c:v>
                </c:pt>
                <c:pt idx="2">
                  <c:v>Electricity</c:v>
                </c:pt>
                <c:pt idx="3">
                  <c:v>Transport</c:v>
                </c:pt>
                <c:pt idx="4">
                  <c:v>Medical</c:v>
                </c:pt>
                <c:pt idx="5">
                  <c:v>Entertainment</c:v>
                </c:pt>
                <c:pt idx="6">
                  <c:v>Clothing</c:v>
                </c:pt>
                <c:pt idx="7">
                  <c:v>Misc</c:v>
                </c:pt>
              </c:strCache>
            </c:strRef>
          </c:cat>
          <c:val>
            <c:numRef>
              <c:f>'Pivot Analysis'!$G$5:$G$12</c:f>
              <c:numCache>
                <c:formatCode>#,##0</c:formatCode>
                <c:ptCount val="8"/>
                <c:pt idx="0">
                  <c:v>96000</c:v>
                </c:pt>
                <c:pt idx="1">
                  <c:v>55600</c:v>
                </c:pt>
                <c:pt idx="2">
                  <c:v>22500</c:v>
                </c:pt>
                <c:pt idx="3">
                  <c:v>18600</c:v>
                </c:pt>
                <c:pt idx="4">
                  <c:v>3400</c:v>
                </c:pt>
                <c:pt idx="5">
                  <c:v>12900</c:v>
                </c:pt>
                <c:pt idx="6">
                  <c:v>13000</c:v>
                </c:pt>
                <c:pt idx="7">
                  <c:v>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151-474C-ACB3-1375791E4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2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4">
        <a:lumMod val="60000"/>
        <a:lumOff val="40000"/>
      </a:schemeClr>
    </a:solidFill>
    <a:ln>
      <a:solidFill>
        <a:schemeClr val="accent4">
          <a:lumMod val="20000"/>
          <a:lumOff val="8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tx1"/>
                </a:solidFill>
                <a:latin typeface="+mn-lt"/>
              </a:defRPr>
            </a:pPr>
            <a:r>
              <a:rPr lang="en-US" sz="1600" b="1" i="0">
                <a:solidFill>
                  <a:schemeClr val="tx1"/>
                </a:solidFill>
                <a:latin typeface="+mn-lt"/>
              </a:rPr>
              <a:t>Quarterly Income vs Expense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Analysis'!$E$21</c:f>
              <c:strCache>
                <c:ptCount val="1"/>
                <c:pt idx="0">
                  <c:v>Income (₹)</c:v>
                </c:pt>
              </c:strCache>
            </c:strRef>
          </c:tx>
          <c:spPr>
            <a:solidFill>
              <a:srgbClr val="40315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Analysis'!$D$22:$D$25</c:f>
              <c:strCache>
                <c:ptCount val="4"/>
                <c:pt idx="0">
                  <c:v>Q1 (Jan-Mar)</c:v>
                </c:pt>
                <c:pt idx="1">
                  <c:v>Q2 (Apr-Jun)</c:v>
                </c:pt>
                <c:pt idx="2">
                  <c:v>Q3 (Jul-Sep)</c:v>
                </c:pt>
                <c:pt idx="3">
                  <c:v>Q4 (Oct-Dec)</c:v>
                </c:pt>
              </c:strCache>
            </c:strRef>
          </c:cat>
          <c:val>
            <c:numRef>
              <c:f>'Pivot Analysis'!$E$22:$E$25</c:f>
              <c:numCache>
                <c:formatCode>#,##0</c:formatCode>
                <c:ptCount val="4"/>
                <c:pt idx="0">
                  <c:v>85500</c:v>
                </c:pt>
                <c:pt idx="1">
                  <c:v>87000</c:v>
                </c:pt>
                <c:pt idx="2">
                  <c:v>88500</c:v>
                </c:pt>
                <c:pt idx="3">
                  <c:v>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7D-4903-84FE-AD3EAFD11DF9}"/>
            </c:ext>
          </c:extLst>
        </c:ser>
        <c:ser>
          <c:idx val="1"/>
          <c:order val="1"/>
          <c:tx>
            <c:strRef>
              <c:f>'Pivot Analysis'!$F$21</c:f>
              <c:strCache>
                <c:ptCount val="1"/>
                <c:pt idx="0">
                  <c:v>Expense (₹)</c:v>
                </c:pt>
              </c:strCache>
            </c:strRef>
          </c:tx>
          <c:spPr>
            <a:solidFill>
              <a:srgbClr val="604A7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Analysis'!$D$22:$D$25</c:f>
              <c:strCache>
                <c:ptCount val="4"/>
                <c:pt idx="0">
                  <c:v>Q1 (Jan-Mar)</c:v>
                </c:pt>
                <c:pt idx="1">
                  <c:v>Q2 (Apr-Jun)</c:v>
                </c:pt>
                <c:pt idx="2">
                  <c:v>Q3 (Jul-Sep)</c:v>
                </c:pt>
                <c:pt idx="3">
                  <c:v>Q4 (Oct-Dec)</c:v>
                </c:pt>
              </c:strCache>
            </c:strRef>
          </c:cat>
          <c:val>
            <c:numRef>
              <c:f>'Pivot Analysis'!$F$22:$F$25</c:f>
              <c:numCache>
                <c:formatCode>#,##0</c:formatCode>
                <c:ptCount val="4"/>
                <c:pt idx="0">
                  <c:v>50800</c:v>
                </c:pt>
                <c:pt idx="1">
                  <c:v>56150</c:v>
                </c:pt>
                <c:pt idx="2">
                  <c:v>58550</c:v>
                </c:pt>
                <c:pt idx="3">
                  <c:v>63300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7D-4903-84FE-AD3EAFD11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397531"/>
        <c:axId val="89659451"/>
      </c:barChart>
      <c:catAx>
        <c:axId val="312397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659451"/>
        <c:crosses val="autoZero"/>
        <c:auto val="1"/>
        <c:lblAlgn val="ctr"/>
        <c:lblOffset val="100"/>
        <c:noMultiLvlLbl val="1"/>
      </c:catAx>
      <c:valAx>
        <c:axId val="89659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2397531"/>
        <c:crosses val="autoZero"/>
        <c:crossBetween val="between"/>
      </c:valAx>
      <c:spPr>
        <a:solidFill>
          <a:schemeClr val="accent4">
            <a:lumMod val="60000"/>
            <a:lumOff val="40000"/>
          </a:schemeClr>
        </a:solidFill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4">
        <a:lumMod val="60000"/>
        <a:lumOff val="40000"/>
      </a:schemeClr>
    </a:solidFill>
    <a:ln>
      <a:solidFill>
        <a:schemeClr val="accent4">
          <a:lumMod val="20000"/>
          <a:lumOff val="80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111565</xdr:colOff>
      <xdr:row>9</xdr:row>
      <xdr:rowOff>182671</xdr:rowOff>
    </xdr:from>
    <xdr:ext cx="6360216" cy="41101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130480</xdr:colOff>
      <xdr:row>9</xdr:row>
      <xdr:rowOff>169623</xdr:rowOff>
    </xdr:from>
    <xdr:ext cx="6223870" cy="407095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65240</xdr:colOff>
      <xdr:row>32</xdr:row>
      <xdr:rowOff>156575</xdr:rowOff>
    </xdr:from>
    <xdr:ext cx="6418677" cy="4117081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169624</xdr:colOff>
      <xdr:row>32</xdr:row>
      <xdr:rowOff>117430</xdr:rowOff>
    </xdr:from>
    <xdr:ext cx="6236918" cy="416229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249977111117893"/>
  </sheetPr>
  <dimension ref="A1:M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9" sqref="O9"/>
    </sheetView>
  </sheetViews>
  <sheetFormatPr defaultColWidth="12.5703125" defaultRowHeight="15" customHeight="1" x14ac:dyDescent="0.25"/>
  <cols>
    <col min="1" max="1" width="12.28515625" customWidth="1"/>
    <col min="2" max="2" width="8.5703125" customWidth="1"/>
    <col min="3" max="3" width="6.5703125" bestFit="1" customWidth="1"/>
    <col min="4" max="4" width="12.42578125" customWidth="1"/>
    <col min="5" max="5" width="13" customWidth="1"/>
    <col min="6" max="6" width="10.85546875" customWidth="1"/>
    <col min="7" max="7" width="8.140625" bestFit="1" customWidth="1"/>
    <col min="8" max="8" width="15.7109375" customWidth="1"/>
    <col min="9" max="9" width="8.5703125" bestFit="1" customWidth="1"/>
    <col min="10" max="10" width="8" customWidth="1"/>
    <col min="11" max="11" width="11" customWidth="1"/>
    <col min="12" max="12" width="8.140625" bestFit="1" customWidth="1"/>
    <col min="13" max="13" width="10.140625" customWidth="1"/>
  </cols>
  <sheetData>
    <row r="1" spans="1:13" ht="25.5" x14ac:dyDescent="0.25">
      <c r="A1" s="26" t="s">
        <v>5</v>
      </c>
      <c r="B1" s="26" t="s">
        <v>6</v>
      </c>
      <c r="C1" s="26" t="s">
        <v>7</v>
      </c>
      <c r="D1" s="26" t="s">
        <v>8</v>
      </c>
      <c r="E1" s="26" t="s">
        <v>9</v>
      </c>
      <c r="F1" s="26" t="s">
        <v>10</v>
      </c>
      <c r="G1" s="26" t="s">
        <v>11</v>
      </c>
      <c r="H1" s="29" t="s">
        <v>12</v>
      </c>
      <c r="I1" s="26" t="s">
        <v>13</v>
      </c>
      <c r="J1" s="26" t="s">
        <v>14</v>
      </c>
      <c r="K1" s="26" t="s">
        <v>15</v>
      </c>
      <c r="L1" s="26" t="s">
        <v>16</v>
      </c>
      <c r="M1" s="26" t="s">
        <v>17</v>
      </c>
    </row>
    <row r="2" spans="1:13" x14ac:dyDescent="0.25">
      <c r="A2" s="33" t="s">
        <v>18</v>
      </c>
      <c r="B2" s="19">
        <v>28500</v>
      </c>
      <c r="C2" s="18">
        <v>8000</v>
      </c>
      <c r="D2" s="18">
        <v>4200</v>
      </c>
      <c r="E2" s="18">
        <v>1850</v>
      </c>
      <c r="F2" s="18">
        <v>1500</v>
      </c>
      <c r="G2" s="18">
        <v>0</v>
      </c>
      <c r="H2" s="18">
        <v>800</v>
      </c>
      <c r="I2" s="18">
        <v>0</v>
      </c>
      <c r="J2" s="18">
        <v>600</v>
      </c>
      <c r="K2" s="20">
        <f t="shared" ref="K2:K13" si="0">SUM(C2:J2)</f>
        <v>16950</v>
      </c>
      <c r="L2" s="21">
        <f t="shared" ref="L2:L13" si="1">B2-K2</f>
        <v>11550</v>
      </c>
      <c r="M2" s="22">
        <f t="shared" ref="M2:M14" si="2">IF(B2&gt;0,L2/B2,0)</f>
        <v>0.40526315789473683</v>
      </c>
    </row>
    <row r="3" spans="1:13" x14ac:dyDescent="0.25">
      <c r="A3" s="34" t="s">
        <v>19</v>
      </c>
      <c r="B3" s="24">
        <v>28500</v>
      </c>
      <c r="C3" s="23">
        <v>8000</v>
      </c>
      <c r="D3" s="23">
        <v>3900</v>
      </c>
      <c r="E3" s="23">
        <v>1600</v>
      </c>
      <c r="F3" s="23">
        <v>1500</v>
      </c>
      <c r="G3" s="23">
        <v>500</v>
      </c>
      <c r="H3" s="23">
        <v>600</v>
      </c>
      <c r="I3" s="23">
        <v>1200</v>
      </c>
      <c r="J3" s="23">
        <v>450</v>
      </c>
      <c r="K3" s="20">
        <f t="shared" si="0"/>
        <v>17750</v>
      </c>
      <c r="L3" s="21">
        <f t="shared" si="1"/>
        <v>10750</v>
      </c>
      <c r="M3" s="25">
        <f t="shared" si="2"/>
        <v>0.37719298245614036</v>
      </c>
    </row>
    <row r="4" spans="1:13" x14ac:dyDescent="0.25">
      <c r="A4" s="33" t="s">
        <v>20</v>
      </c>
      <c r="B4" s="19">
        <v>28500</v>
      </c>
      <c r="C4" s="18">
        <v>8000</v>
      </c>
      <c r="D4" s="18">
        <v>4100</v>
      </c>
      <c r="E4" s="18">
        <v>1500</v>
      </c>
      <c r="F4" s="18">
        <v>1500</v>
      </c>
      <c r="G4" s="18">
        <v>0</v>
      </c>
      <c r="H4" s="18">
        <v>700</v>
      </c>
      <c r="I4" s="18">
        <v>0</v>
      </c>
      <c r="J4" s="18">
        <v>300</v>
      </c>
      <c r="K4" s="20">
        <f t="shared" si="0"/>
        <v>16100</v>
      </c>
      <c r="L4" s="21">
        <f t="shared" si="1"/>
        <v>12400</v>
      </c>
      <c r="M4" s="22">
        <f t="shared" si="2"/>
        <v>0.43508771929824563</v>
      </c>
    </row>
    <row r="5" spans="1:13" x14ac:dyDescent="0.25">
      <c r="A5" s="34" t="s">
        <v>21</v>
      </c>
      <c r="B5" s="24">
        <v>29000</v>
      </c>
      <c r="C5" s="23">
        <v>8000</v>
      </c>
      <c r="D5" s="23">
        <v>4500</v>
      </c>
      <c r="E5" s="23">
        <v>2100</v>
      </c>
      <c r="F5" s="23">
        <v>1500</v>
      </c>
      <c r="G5" s="23">
        <v>800</v>
      </c>
      <c r="H5" s="23">
        <v>1000</v>
      </c>
      <c r="I5" s="23">
        <v>0</v>
      </c>
      <c r="J5" s="23">
        <v>500</v>
      </c>
      <c r="K5" s="20">
        <f t="shared" si="0"/>
        <v>18400</v>
      </c>
      <c r="L5" s="21">
        <f t="shared" si="1"/>
        <v>10600</v>
      </c>
      <c r="M5" s="25">
        <f t="shared" si="2"/>
        <v>0.36551724137931035</v>
      </c>
    </row>
    <row r="6" spans="1:13" x14ac:dyDescent="0.25">
      <c r="A6" s="33" t="s">
        <v>22</v>
      </c>
      <c r="B6" s="19">
        <v>29000</v>
      </c>
      <c r="C6" s="18">
        <v>8000</v>
      </c>
      <c r="D6" s="18">
        <v>4800</v>
      </c>
      <c r="E6" s="18">
        <v>2500</v>
      </c>
      <c r="F6" s="18">
        <v>1500</v>
      </c>
      <c r="G6" s="18">
        <v>0</v>
      </c>
      <c r="H6" s="18">
        <v>900</v>
      </c>
      <c r="I6" s="18">
        <v>2500</v>
      </c>
      <c r="J6" s="18">
        <v>400</v>
      </c>
      <c r="K6" s="20">
        <f t="shared" si="0"/>
        <v>20600</v>
      </c>
      <c r="L6" s="21">
        <f t="shared" si="1"/>
        <v>8400</v>
      </c>
      <c r="M6" s="22">
        <f t="shared" si="2"/>
        <v>0.28965517241379313</v>
      </c>
    </row>
    <row r="7" spans="1:13" x14ac:dyDescent="0.25">
      <c r="A7" s="34" t="s">
        <v>23</v>
      </c>
      <c r="B7" s="24">
        <v>29000</v>
      </c>
      <c r="C7" s="23">
        <v>8000</v>
      </c>
      <c r="D7" s="23">
        <v>4300</v>
      </c>
      <c r="E7" s="23">
        <v>2200</v>
      </c>
      <c r="F7" s="23">
        <v>1500</v>
      </c>
      <c r="G7" s="23">
        <v>300</v>
      </c>
      <c r="H7" s="23">
        <v>500</v>
      </c>
      <c r="I7" s="23">
        <v>0</v>
      </c>
      <c r="J7" s="23">
        <v>350</v>
      </c>
      <c r="K7" s="20">
        <f t="shared" si="0"/>
        <v>17150</v>
      </c>
      <c r="L7" s="21">
        <f t="shared" si="1"/>
        <v>11850</v>
      </c>
      <c r="M7" s="25">
        <f t="shared" si="2"/>
        <v>0.4086206896551724</v>
      </c>
    </row>
    <row r="8" spans="1:13" x14ac:dyDescent="0.25">
      <c r="A8" s="33" t="s">
        <v>24</v>
      </c>
      <c r="B8" s="19">
        <v>29500</v>
      </c>
      <c r="C8" s="18">
        <v>8000</v>
      </c>
      <c r="D8" s="18">
        <v>5000</v>
      </c>
      <c r="E8" s="18">
        <v>1800</v>
      </c>
      <c r="F8" s="18">
        <v>1600</v>
      </c>
      <c r="G8" s="18">
        <v>0</v>
      </c>
      <c r="H8" s="18">
        <v>600</v>
      </c>
      <c r="I8" s="18">
        <v>0</v>
      </c>
      <c r="J8" s="18">
        <v>700</v>
      </c>
      <c r="K8" s="20">
        <f t="shared" si="0"/>
        <v>17700</v>
      </c>
      <c r="L8" s="21">
        <f t="shared" si="1"/>
        <v>11800</v>
      </c>
      <c r="M8" s="22">
        <f t="shared" si="2"/>
        <v>0.4</v>
      </c>
    </row>
    <row r="9" spans="1:13" x14ac:dyDescent="0.25">
      <c r="A9" s="34" t="s">
        <v>25</v>
      </c>
      <c r="B9" s="24">
        <v>29500</v>
      </c>
      <c r="C9" s="23">
        <v>8000</v>
      </c>
      <c r="D9" s="23">
        <v>4700</v>
      </c>
      <c r="E9" s="23">
        <v>1750</v>
      </c>
      <c r="F9" s="23">
        <v>1600</v>
      </c>
      <c r="G9" s="23">
        <v>1200</v>
      </c>
      <c r="H9" s="23">
        <v>800</v>
      </c>
      <c r="I9" s="23">
        <v>1800</v>
      </c>
      <c r="J9" s="23">
        <v>500</v>
      </c>
      <c r="K9" s="20">
        <f t="shared" si="0"/>
        <v>20350</v>
      </c>
      <c r="L9" s="21">
        <f t="shared" si="1"/>
        <v>9150</v>
      </c>
      <c r="M9" s="25">
        <f t="shared" si="2"/>
        <v>0.31016949152542372</v>
      </c>
    </row>
    <row r="10" spans="1:13" x14ac:dyDescent="0.25">
      <c r="A10" s="33" t="s">
        <v>26</v>
      </c>
      <c r="B10" s="19">
        <v>29500</v>
      </c>
      <c r="C10" s="18">
        <v>8000</v>
      </c>
      <c r="D10" s="18">
        <v>4400</v>
      </c>
      <c r="E10" s="18">
        <v>1700</v>
      </c>
      <c r="F10" s="18">
        <v>1600</v>
      </c>
      <c r="G10" s="18">
        <v>0</v>
      </c>
      <c r="H10" s="18">
        <v>1200</v>
      </c>
      <c r="I10" s="18">
        <v>3000</v>
      </c>
      <c r="J10" s="18">
        <v>600</v>
      </c>
      <c r="K10" s="20">
        <f t="shared" si="0"/>
        <v>20500</v>
      </c>
      <c r="L10" s="21">
        <f t="shared" si="1"/>
        <v>9000</v>
      </c>
      <c r="M10" s="22">
        <f t="shared" si="2"/>
        <v>0.30508474576271188</v>
      </c>
    </row>
    <row r="11" spans="1:13" x14ac:dyDescent="0.25">
      <c r="A11" s="34" t="s">
        <v>27</v>
      </c>
      <c r="B11" s="24">
        <v>30000</v>
      </c>
      <c r="C11" s="23">
        <v>8000</v>
      </c>
      <c r="D11" s="23">
        <v>5200</v>
      </c>
      <c r="E11" s="23">
        <v>1600</v>
      </c>
      <c r="F11" s="23">
        <v>1600</v>
      </c>
      <c r="G11" s="23">
        <v>0</v>
      </c>
      <c r="H11" s="23">
        <v>1500</v>
      </c>
      <c r="I11" s="23">
        <v>2000</v>
      </c>
      <c r="J11" s="23">
        <v>800</v>
      </c>
      <c r="K11" s="20">
        <f t="shared" si="0"/>
        <v>20700</v>
      </c>
      <c r="L11" s="21">
        <f t="shared" si="1"/>
        <v>9300</v>
      </c>
      <c r="M11" s="25">
        <f t="shared" si="2"/>
        <v>0.31</v>
      </c>
    </row>
    <row r="12" spans="1:13" x14ac:dyDescent="0.25">
      <c r="A12" s="33" t="s">
        <v>28</v>
      </c>
      <c r="B12" s="19">
        <v>30000</v>
      </c>
      <c r="C12" s="18">
        <v>8000</v>
      </c>
      <c r="D12" s="18">
        <v>5000</v>
      </c>
      <c r="E12" s="18">
        <v>1900</v>
      </c>
      <c r="F12" s="18">
        <v>1600</v>
      </c>
      <c r="G12" s="18">
        <v>600</v>
      </c>
      <c r="H12" s="18">
        <v>1800</v>
      </c>
      <c r="I12" s="18">
        <v>1500</v>
      </c>
      <c r="J12" s="18">
        <v>700</v>
      </c>
      <c r="K12" s="20">
        <f t="shared" si="0"/>
        <v>21100</v>
      </c>
      <c r="L12" s="21">
        <f t="shared" si="1"/>
        <v>8900</v>
      </c>
      <c r="M12" s="22">
        <f t="shared" si="2"/>
        <v>0.29666666666666669</v>
      </c>
    </row>
    <row r="13" spans="1:13" x14ac:dyDescent="0.25">
      <c r="A13" s="34" t="s">
        <v>29</v>
      </c>
      <c r="B13" s="24">
        <v>30000</v>
      </c>
      <c r="C13" s="23">
        <v>8000</v>
      </c>
      <c r="D13" s="23">
        <v>5500</v>
      </c>
      <c r="E13" s="23">
        <v>2000</v>
      </c>
      <c r="F13" s="23">
        <v>1600</v>
      </c>
      <c r="G13" s="23">
        <v>0</v>
      </c>
      <c r="H13" s="23">
        <v>2500</v>
      </c>
      <c r="I13" s="23">
        <v>1000</v>
      </c>
      <c r="J13" s="23">
        <v>900</v>
      </c>
      <c r="K13" s="20">
        <f t="shared" si="0"/>
        <v>21500</v>
      </c>
      <c r="L13" s="21">
        <f t="shared" si="1"/>
        <v>8500</v>
      </c>
      <c r="M13" s="25">
        <f t="shared" si="2"/>
        <v>0.28333333333333333</v>
      </c>
    </row>
    <row r="14" spans="1:13" x14ac:dyDescent="0.25">
      <c r="A14" s="26" t="s">
        <v>30</v>
      </c>
      <c r="B14" s="27">
        <f t="shared" ref="B14:L14" si="3">SUM(B2:B13)</f>
        <v>351000</v>
      </c>
      <c r="C14" s="27">
        <f t="shared" si="3"/>
        <v>96000</v>
      </c>
      <c r="D14" s="27">
        <f t="shared" si="3"/>
        <v>55600</v>
      </c>
      <c r="E14" s="27">
        <f t="shared" si="3"/>
        <v>22500</v>
      </c>
      <c r="F14" s="27">
        <f t="shared" si="3"/>
        <v>18600</v>
      </c>
      <c r="G14" s="27">
        <f t="shared" si="3"/>
        <v>3400</v>
      </c>
      <c r="H14" s="27">
        <f t="shared" si="3"/>
        <v>12900</v>
      </c>
      <c r="I14" s="27">
        <f t="shared" si="3"/>
        <v>13000</v>
      </c>
      <c r="J14" s="27">
        <f t="shared" si="3"/>
        <v>6800</v>
      </c>
      <c r="K14" s="27">
        <f t="shared" si="3"/>
        <v>228800</v>
      </c>
      <c r="L14" s="27">
        <f t="shared" si="3"/>
        <v>122200</v>
      </c>
      <c r="M14" s="28">
        <f t="shared" si="2"/>
        <v>0.34814814814814815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  <ignoredErrors>
    <ignoredError sqref="K2:K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</sheetPr>
  <dimension ref="A1:H100"/>
  <sheetViews>
    <sheetView workbookViewId="0">
      <pane ySplit="1" topLeftCell="A2" activePane="bottomLeft" state="frozen"/>
      <selection pane="bottomLeft" activeCell="J5" sqref="J5"/>
    </sheetView>
  </sheetViews>
  <sheetFormatPr defaultColWidth="12.5703125" defaultRowHeight="15" customHeight="1" x14ac:dyDescent="0.25"/>
  <cols>
    <col min="1" max="2" width="10.42578125" bestFit="1" customWidth="1"/>
    <col min="3" max="3" width="11.42578125" bestFit="1" customWidth="1"/>
    <col min="4" max="4" width="14.28515625" customWidth="1"/>
    <col min="5" max="5" width="9.5703125" bestFit="1" customWidth="1"/>
    <col min="6" max="7" width="14" customWidth="1"/>
    <col min="8" max="8" width="14" bestFit="1" customWidth="1"/>
    <col min="9" max="9" width="22.140625" bestFit="1" customWidth="1"/>
    <col min="10" max="10" width="14.7109375" bestFit="1" customWidth="1"/>
    <col min="11" max="11" width="7.5703125" customWidth="1"/>
    <col min="12" max="12" width="13.140625" bestFit="1" customWidth="1"/>
    <col min="13" max="13" width="17.42578125" bestFit="1" customWidth="1"/>
    <col min="14" max="14" width="23.28515625" bestFit="1" customWidth="1"/>
    <col min="15" max="15" width="17.42578125" bestFit="1" customWidth="1"/>
  </cols>
  <sheetData>
    <row r="1" spans="1:8" ht="31.5" customHeight="1" x14ac:dyDescent="0.25">
      <c r="A1" s="76" t="s">
        <v>47</v>
      </c>
      <c r="B1" s="77"/>
      <c r="C1" s="77"/>
      <c r="D1" s="77"/>
      <c r="E1" s="77"/>
      <c r="F1" s="77"/>
      <c r="G1" s="77"/>
      <c r="H1" s="78"/>
    </row>
    <row r="3" spans="1:8" ht="24" customHeight="1" x14ac:dyDescent="0.25">
      <c r="A3" s="70" t="s">
        <v>31</v>
      </c>
      <c r="B3" s="71"/>
      <c r="C3" s="71"/>
      <c r="D3" s="72"/>
      <c r="F3" s="70" t="s">
        <v>32</v>
      </c>
      <c r="G3" s="71"/>
      <c r="H3" s="72"/>
    </row>
    <row r="4" spans="1:8" ht="25.5" x14ac:dyDescent="0.25">
      <c r="A4" s="35" t="s">
        <v>5</v>
      </c>
      <c r="B4" s="35" t="s">
        <v>33</v>
      </c>
      <c r="C4" s="35" t="s">
        <v>34</v>
      </c>
      <c r="D4" s="35" t="s">
        <v>35</v>
      </c>
      <c r="F4" s="35" t="s">
        <v>36</v>
      </c>
      <c r="G4" s="35" t="s">
        <v>37</v>
      </c>
      <c r="H4" s="35" t="s">
        <v>38</v>
      </c>
    </row>
    <row r="5" spans="1:8" x14ac:dyDescent="0.25">
      <c r="A5" s="36" t="str">
        <f>'Monthly Data'!A3</f>
        <v>February</v>
      </c>
      <c r="B5" s="37">
        <f>'Monthly Data'!B3</f>
        <v>28500</v>
      </c>
      <c r="C5" s="38">
        <f>'Monthly Data'!K3</f>
        <v>17750</v>
      </c>
      <c r="D5" s="39">
        <f>'Monthly Data'!L3</f>
        <v>10750</v>
      </c>
      <c r="F5" s="49" t="s">
        <v>7</v>
      </c>
      <c r="G5" s="50">
        <f>SUM('Monthly Data'!C2:'Monthly Data'!C13)</f>
        <v>96000</v>
      </c>
      <c r="H5" s="51">
        <f t="shared" ref="H5:H12" si="0">IF(G5&gt;0,G5/SUM($G$5:$G$12),0)</f>
        <v>0.41958041958041958</v>
      </c>
    </row>
    <row r="6" spans="1:8" x14ac:dyDescent="0.25">
      <c r="A6" s="40" t="str">
        <f>'Monthly Data'!A4</f>
        <v>March</v>
      </c>
      <c r="B6" s="41">
        <f>'Monthly Data'!B4</f>
        <v>28500</v>
      </c>
      <c r="C6" s="42">
        <f>'Monthly Data'!K4</f>
        <v>16100</v>
      </c>
      <c r="D6" s="43">
        <f>'Monthly Data'!L4</f>
        <v>12400</v>
      </c>
      <c r="F6" s="52" t="s">
        <v>8</v>
      </c>
      <c r="G6" s="53">
        <f>SUM('Monthly Data'!D2:'Monthly Data'!D13)</f>
        <v>55600</v>
      </c>
      <c r="H6" s="54">
        <f t="shared" si="0"/>
        <v>0.24300699300699299</v>
      </c>
    </row>
    <row r="7" spans="1:8" x14ac:dyDescent="0.25">
      <c r="A7" s="36" t="str">
        <f>'Monthly Data'!A5</f>
        <v>April</v>
      </c>
      <c r="B7" s="37">
        <f>'Monthly Data'!B5</f>
        <v>29000</v>
      </c>
      <c r="C7" s="38">
        <f>'Monthly Data'!K5</f>
        <v>18400</v>
      </c>
      <c r="D7" s="39">
        <f>'Monthly Data'!L5</f>
        <v>10600</v>
      </c>
      <c r="F7" s="55" t="s">
        <v>9</v>
      </c>
      <c r="G7" s="56">
        <f>SUM('Monthly Data'!E2:'Monthly Data'!E13)</f>
        <v>22500</v>
      </c>
      <c r="H7" s="57">
        <f t="shared" si="0"/>
        <v>9.8339160839160833E-2</v>
      </c>
    </row>
    <row r="8" spans="1:8" x14ac:dyDescent="0.25">
      <c r="A8" s="40" t="str">
        <f>'Monthly Data'!A6</f>
        <v>May</v>
      </c>
      <c r="B8" s="41">
        <f>'Monthly Data'!B6</f>
        <v>29000</v>
      </c>
      <c r="C8" s="42">
        <f>'Monthly Data'!K6</f>
        <v>20600</v>
      </c>
      <c r="D8" s="43">
        <f>'Monthly Data'!L6</f>
        <v>8400</v>
      </c>
      <c r="F8" s="58" t="s">
        <v>10</v>
      </c>
      <c r="G8" s="59">
        <f>SUM('Monthly Data'!F2:'Monthly Data'!F13)</f>
        <v>18600</v>
      </c>
      <c r="H8" s="60">
        <f t="shared" si="0"/>
        <v>8.1293706293706289E-2</v>
      </c>
    </row>
    <row r="9" spans="1:8" x14ac:dyDescent="0.25">
      <c r="A9" s="36" t="str">
        <f>'Monthly Data'!A7</f>
        <v>June</v>
      </c>
      <c r="B9" s="37">
        <f>'Monthly Data'!B7</f>
        <v>29000</v>
      </c>
      <c r="C9" s="38">
        <f>'Monthly Data'!K7</f>
        <v>17150</v>
      </c>
      <c r="D9" s="39">
        <f>'Monthly Data'!L7</f>
        <v>11850</v>
      </c>
      <c r="F9" s="61" t="s">
        <v>11</v>
      </c>
      <c r="G9" s="62">
        <f>SUM('Monthly Data'!G2:'Monthly Data'!G13)</f>
        <v>3400</v>
      </c>
      <c r="H9" s="63">
        <f t="shared" si="0"/>
        <v>1.486013986013986E-2</v>
      </c>
    </row>
    <row r="10" spans="1:8" x14ac:dyDescent="0.25">
      <c r="A10" s="40" t="str">
        <f>'Monthly Data'!A8</f>
        <v>July</v>
      </c>
      <c r="B10" s="41">
        <f>'Monthly Data'!B8</f>
        <v>29500</v>
      </c>
      <c r="C10" s="42">
        <f>'Monthly Data'!K8</f>
        <v>17700</v>
      </c>
      <c r="D10" s="43">
        <f>'Monthly Data'!L8</f>
        <v>11800</v>
      </c>
      <c r="F10" s="64" t="s">
        <v>12</v>
      </c>
      <c r="G10" s="65">
        <f>SUM('Monthly Data'!H2:'Monthly Data'!H13)</f>
        <v>12900</v>
      </c>
      <c r="H10" s="66">
        <f t="shared" si="0"/>
        <v>5.638111888111888E-2</v>
      </c>
    </row>
    <row r="11" spans="1:8" x14ac:dyDescent="0.25">
      <c r="A11" s="36" t="str">
        <f>'Monthly Data'!A9</f>
        <v>August</v>
      </c>
      <c r="B11" s="37">
        <f>'Monthly Data'!B9</f>
        <v>29500</v>
      </c>
      <c r="C11" s="38">
        <f>'Monthly Data'!K9</f>
        <v>20350</v>
      </c>
      <c r="D11" s="39">
        <f>'Monthly Data'!L9</f>
        <v>9150</v>
      </c>
      <c r="F11" s="67" t="s">
        <v>13</v>
      </c>
      <c r="G11" s="68">
        <f>SUM('Monthly Data'!I2:'Monthly Data'!I13)</f>
        <v>13000</v>
      </c>
      <c r="H11" s="69">
        <f t="shared" si="0"/>
        <v>5.6818181818181816E-2</v>
      </c>
    </row>
    <row r="12" spans="1:8" x14ac:dyDescent="0.25">
      <c r="A12" s="40" t="str">
        <f>'Monthly Data'!A10</f>
        <v>September</v>
      </c>
      <c r="B12" s="41">
        <f>'Monthly Data'!B10</f>
        <v>29500</v>
      </c>
      <c r="C12" s="42">
        <f>'Monthly Data'!K10</f>
        <v>20500</v>
      </c>
      <c r="D12" s="43">
        <f>'Monthly Data'!L10</f>
        <v>9000</v>
      </c>
      <c r="F12" s="55" t="s">
        <v>14</v>
      </c>
      <c r="G12" s="56">
        <f>SUM('Monthly Data'!J2:'Monthly Data'!J13)</f>
        <v>6800</v>
      </c>
      <c r="H12" s="57">
        <f t="shared" si="0"/>
        <v>2.972027972027972E-2</v>
      </c>
    </row>
    <row r="13" spans="1:8" x14ac:dyDescent="0.25">
      <c r="A13" s="36" t="str">
        <f>'Monthly Data'!A11</f>
        <v>October</v>
      </c>
      <c r="B13" s="37">
        <f>'Monthly Data'!B11</f>
        <v>30000</v>
      </c>
      <c r="C13" s="38">
        <f>'Monthly Data'!K11</f>
        <v>20700</v>
      </c>
      <c r="D13" s="39">
        <f>'Monthly Data'!L11</f>
        <v>9300</v>
      </c>
      <c r="F13" s="47" t="s">
        <v>30</v>
      </c>
      <c r="G13" s="48">
        <f>SUM(G5:G12)</f>
        <v>228800</v>
      </c>
      <c r="H13" s="47" t="s">
        <v>39</v>
      </c>
    </row>
    <row r="14" spans="1:8" x14ac:dyDescent="0.25">
      <c r="A14" s="40" t="str">
        <f>'Monthly Data'!A12</f>
        <v>November</v>
      </c>
      <c r="B14" s="41">
        <f>'Monthly Data'!B12</f>
        <v>30000</v>
      </c>
      <c r="C14" s="42">
        <f>'Monthly Data'!K12</f>
        <v>21100</v>
      </c>
      <c r="D14" s="43">
        <f>'Monthly Data'!L12</f>
        <v>8900</v>
      </c>
    </row>
    <row r="15" spans="1:8" x14ac:dyDescent="0.25">
      <c r="A15" s="36" t="str">
        <f>'Monthly Data'!A13</f>
        <v>December</v>
      </c>
      <c r="B15" s="37">
        <f>'Monthly Data'!B13</f>
        <v>30000</v>
      </c>
      <c r="C15" s="38">
        <f>'Monthly Data'!K13</f>
        <v>21500</v>
      </c>
      <c r="D15" s="39">
        <f>'Monthly Data'!L13</f>
        <v>8500</v>
      </c>
    </row>
    <row r="16" spans="1:8" x14ac:dyDescent="0.25">
      <c r="A16" s="40" t="str">
        <f>'Monthly Data'!A14</f>
        <v>TOTAL</v>
      </c>
      <c r="B16" s="44">
        <f>'Monthly Data'!B14</f>
        <v>351000</v>
      </c>
      <c r="C16" s="45">
        <f>'Monthly Data'!K14</f>
        <v>228800</v>
      </c>
      <c r="D16" s="46">
        <f>'Monthly Data'!L14</f>
        <v>122200</v>
      </c>
    </row>
    <row r="17" spans="1:7" x14ac:dyDescent="0.25">
      <c r="A17" s="47" t="s">
        <v>30</v>
      </c>
      <c r="B17" s="48">
        <f t="shared" ref="B17:D17" si="1">SUM(B5:B16)</f>
        <v>673500</v>
      </c>
      <c r="C17" s="48">
        <f t="shared" si="1"/>
        <v>440650</v>
      </c>
      <c r="D17" s="48">
        <f t="shared" si="1"/>
        <v>232850</v>
      </c>
    </row>
    <row r="19" spans="1:7" x14ac:dyDescent="0.25"/>
    <row r="20" spans="1:7" ht="15.75" x14ac:dyDescent="0.25">
      <c r="D20" s="73" t="s">
        <v>40</v>
      </c>
      <c r="E20" s="74"/>
      <c r="F20" s="74"/>
      <c r="G20" s="75"/>
    </row>
    <row r="21" spans="1:7" ht="15.75" customHeight="1" x14ac:dyDescent="0.25">
      <c r="D21" s="1" t="s">
        <v>41</v>
      </c>
      <c r="E21" s="1" t="s">
        <v>33</v>
      </c>
      <c r="F21" s="1" t="s">
        <v>42</v>
      </c>
      <c r="G21" s="1" t="s">
        <v>35</v>
      </c>
    </row>
    <row r="22" spans="1:7" ht="15.75" customHeight="1" x14ac:dyDescent="0.25">
      <c r="D22" s="2" t="s">
        <v>43</v>
      </c>
      <c r="E22" s="6">
        <f>SUM('Monthly Data'!B2:B4)</f>
        <v>85500</v>
      </c>
      <c r="F22" s="7">
        <f>SUM('Monthly Data'!K2:K4)</f>
        <v>50800</v>
      </c>
      <c r="G22" s="8">
        <f>SUM('Monthly Data'!L2:L4)</f>
        <v>34700</v>
      </c>
    </row>
    <row r="23" spans="1:7" ht="15.75" customHeight="1" x14ac:dyDescent="0.25">
      <c r="D23" s="5" t="s">
        <v>44</v>
      </c>
      <c r="E23" s="9">
        <f>SUM('Monthly Data'!B5:B7)</f>
        <v>87000</v>
      </c>
      <c r="F23" s="10">
        <f>SUM('Monthly Data'!K5:K7)</f>
        <v>56150</v>
      </c>
      <c r="G23" s="11">
        <f>SUM('Monthly Data'!L5:L7)</f>
        <v>30850</v>
      </c>
    </row>
    <row r="24" spans="1:7" ht="15.75" customHeight="1" x14ac:dyDescent="0.25">
      <c r="D24" s="4" t="s">
        <v>45</v>
      </c>
      <c r="E24" s="12">
        <f>SUM('Monthly Data'!B8:B10)</f>
        <v>88500</v>
      </c>
      <c r="F24" s="13">
        <f>SUM('Monthly Data'!K8:K10)</f>
        <v>58550</v>
      </c>
      <c r="G24" s="14">
        <f>SUM('Monthly Data'!L8:L10)</f>
        <v>29950</v>
      </c>
    </row>
    <row r="25" spans="1:7" ht="15.75" customHeight="1" x14ac:dyDescent="0.25">
      <c r="D25" s="3" t="s">
        <v>46</v>
      </c>
      <c r="E25" s="15">
        <f>SUM('Monthly Data'!B11:B13)</f>
        <v>90000</v>
      </c>
      <c r="F25" s="16">
        <f>SUM('Monthly Data'!K11:K13)</f>
        <v>63300</v>
      </c>
      <c r="G25" s="17">
        <f>SUM('Monthly Data'!L11:L13)</f>
        <v>26700</v>
      </c>
    </row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4">
    <mergeCell ref="F3:H3"/>
    <mergeCell ref="A3:D3"/>
    <mergeCell ref="D20:G20"/>
    <mergeCell ref="A1:H1"/>
  </mergeCells>
  <pageMargins left="0.75" right="0.75" top="1" bottom="1" header="0" footer="0"/>
  <pageSetup orientation="landscape"/>
  <ignoredErrors>
    <ignoredError sqref="E22:E2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AC100"/>
  <sheetViews>
    <sheetView showGridLines="0" tabSelected="1" zoomScale="73" zoomScaleNormal="73" workbookViewId="0">
      <selection activeCell="AC8" sqref="AC8"/>
    </sheetView>
  </sheetViews>
  <sheetFormatPr defaultColWidth="12.5703125" defaultRowHeight="15" customHeight="1" x14ac:dyDescent="0.25"/>
  <cols>
    <col min="1" max="21" width="7" style="30" customWidth="1"/>
    <col min="22" max="23" width="7.5703125" style="30" customWidth="1"/>
    <col min="24" max="16384" width="12.5703125" style="30"/>
  </cols>
  <sheetData>
    <row r="1" spans="1:21" ht="21.75" customHeight="1" x14ac:dyDescent="0.25">
      <c r="A1" s="79" t="s">
        <v>48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 ht="18" customHeight="1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ht="13.5" customHeight="1" x14ac:dyDescent="0.25">
      <c r="A4" s="86" t="s">
        <v>0</v>
      </c>
      <c r="B4" s="87"/>
      <c r="C4" s="87"/>
      <c r="D4" s="88"/>
      <c r="E4" s="92" t="s">
        <v>1</v>
      </c>
      <c r="F4" s="87"/>
      <c r="G4" s="87"/>
      <c r="H4" s="88"/>
      <c r="I4" s="94" t="s">
        <v>2</v>
      </c>
      <c r="J4" s="87"/>
      <c r="K4" s="87"/>
      <c r="L4" s="88"/>
      <c r="M4" s="99" t="s">
        <v>3</v>
      </c>
      <c r="N4" s="87"/>
      <c r="O4" s="87"/>
      <c r="P4" s="88"/>
      <c r="Q4" s="97" t="s">
        <v>4</v>
      </c>
      <c r="R4" s="87"/>
      <c r="S4" s="87"/>
      <c r="T4" s="88"/>
      <c r="U4" s="31"/>
    </row>
    <row r="5" spans="1:21" ht="27.75" customHeight="1" x14ac:dyDescent="0.25">
      <c r="A5" s="89"/>
      <c r="B5" s="90"/>
      <c r="C5" s="90"/>
      <c r="D5" s="91"/>
      <c r="E5" s="89"/>
      <c r="F5" s="90"/>
      <c r="G5" s="90"/>
      <c r="H5" s="91"/>
      <c r="I5" s="89"/>
      <c r="J5" s="90"/>
      <c r="K5" s="90"/>
      <c r="L5" s="91"/>
      <c r="M5" s="89"/>
      <c r="N5" s="90"/>
      <c r="O5" s="90"/>
      <c r="P5" s="91"/>
      <c r="Q5" s="89"/>
      <c r="R5" s="90"/>
      <c r="S5" s="90"/>
      <c r="T5" s="91"/>
      <c r="U5" s="31"/>
    </row>
    <row r="6" spans="1:21" ht="21.75" customHeight="1" x14ac:dyDescent="0.25">
      <c r="A6" s="80">
        <f>SUM('Monthly Data'!B2:B13)</f>
        <v>351000</v>
      </c>
      <c r="B6" s="81"/>
      <c r="C6" s="81"/>
      <c r="D6" s="82"/>
      <c r="E6" s="93">
        <f>SUM('Monthly Data'!K2:K13)</f>
        <v>228800</v>
      </c>
      <c r="F6" s="81"/>
      <c r="G6" s="81"/>
      <c r="H6" s="82"/>
      <c r="I6" s="95">
        <f>SUM('Monthly Data'!L2:L13)</f>
        <v>122200</v>
      </c>
      <c r="J6" s="81"/>
      <c r="K6" s="81"/>
      <c r="L6" s="82"/>
      <c r="M6" s="96">
        <f>SUM('Monthly Data'!L2:L13)/SUM('Monthly Data'!B2:B13)</f>
        <v>0.34814814814814815</v>
      </c>
      <c r="N6" s="81"/>
      <c r="O6" s="81"/>
      <c r="P6" s="82"/>
      <c r="Q6" s="98" t="str">
        <f t="array" ref="Q6">INDEX('Monthly Data'!A2:A13,MATCH(MAX('Monthly Data'!L2:L13),'Monthly Data'!L2:L13,0))</f>
        <v>March</v>
      </c>
      <c r="R6" s="81"/>
      <c r="S6" s="81"/>
      <c r="T6" s="82"/>
      <c r="U6" s="31"/>
    </row>
    <row r="7" spans="1:21" ht="9.75" customHeight="1" x14ac:dyDescent="0.25">
      <c r="A7" s="83"/>
      <c r="B7" s="84"/>
      <c r="C7" s="84"/>
      <c r="D7" s="85"/>
      <c r="E7" s="83"/>
      <c r="F7" s="84"/>
      <c r="G7" s="84"/>
      <c r="H7" s="85"/>
      <c r="I7" s="83"/>
      <c r="J7" s="84"/>
      <c r="K7" s="84"/>
      <c r="L7" s="85"/>
      <c r="M7" s="83"/>
      <c r="N7" s="84"/>
      <c r="O7" s="84"/>
      <c r="P7" s="85"/>
      <c r="Q7" s="83"/>
      <c r="R7" s="84"/>
      <c r="S7" s="84"/>
      <c r="T7" s="85"/>
      <c r="U7" s="31"/>
    </row>
    <row r="8" spans="1:2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spans="1:21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1:2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spans="1:21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1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spans="1:2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spans="1:21" ht="15.7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ht="15.7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spans="1:21" ht="15.7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ht="15.75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ht="15.7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1:21" ht="15.7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 ht="15.7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1:21" ht="15.7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ht="15.7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1:21" ht="15.7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1:21" ht="15.7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1" ht="15.7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9" ht="15.75" customHeight="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9" ht="15.7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9" ht="15.75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9" ht="15.7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9" ht="15.7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9" ht="15.7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9" ht="15.7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9" ht="15.7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9" ht="15.7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9" ht="15.7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9" ht="15.7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9" ht="15.75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1:29" ht="15.75" customHeight="1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9" ht="15.75" customHeight="1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9" ht="15.7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AC47" s="32"/>
    </row>
    <row r="48" spans="1:29" ht="15.7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1" ht="15.75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1:21" ht="15.75" customHeigh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1" ht="15.7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1:21" ht="15.7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spans="1:21" ht="15.7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spans="1:21" ht="15.7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spans="1:21" ht="15.7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15.7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spans="1:21" ht="15.75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spans="1:21" ht="15.75" customHeigh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spans="1:21" ht="15.7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spans="1:21" ht="15.75" customHeight="1" x14ac:dyDescent="0.25"/>
    <row r="61" spans="1:21" ht="15.75" customHeight="1" x14ac:dyDescent="0.25"/>
    <row r="62" spans="1:21" ht="15.75" customHeight="1" x14ac:dyDescent="0.25"/>
    <row r="63" spans="1:21" ht="15.75" customHeight="1" x14ac:dyDescent="0.25"/>
    <row r="64" spans="1:21" ht="15.75" customHeight="1" x14ac:dyDescent="0.25"/>
    <row r="65" s="30" customFormat="1" ht="15.75" customHeight="1" x14ac:dyDescent="0.25"/>
    <row r="66" s="30" customFormat="1" ht="15.75" customHeight="1" x14ac:dyDescent="0.25"/>
    <row r="67" s="30" customFormat="1" ht="15.75" customHeight="1" x14ac:dyDescent="0.25"/>
    <row r="68" s="30" customFormat="1" ht="15.75" customHeight="1" x14ac:dyDescent="0.25"/>
    <row r="69" s="30" customFormat="1" ht="15.75" customHeight="1" x14ac:dyDescent="0.25"/>
    <row r="70" s="30" customFormat="1" ht="15.75" customHeight="1" x14ac:dyDescent="0.25"/>
    <row r="71" s="30" customFormat="1" ht="15.75" customHeight="1" x14ac:dyDescent="0.25"/>
    <row r="72" s="30" customFormat="1" ht="15.75" customHeight="1" x14ac:dyDescent="0.25"/>
    <row r="73" s="30" customFormat="1" ht="15.75" customHeight="1" x14ac:dyDescent="0.25"/>
    <row r="74" s="30" customFormat="1" ht="15.75" customHeight="1" x14ac:dyDescent="0.25"/>
    <row r="75" s="30" customFormat="1" ht="15.75" customHeight="1" x14ac:dyDescent="0.25"/>
    <row r="76" s="30" customFormat="1" ht="15.75" customHeight="1" x14ac:dyDescent="0.25"/>
    <row r="77" s="30" customFormat="1" ht="15.75" customHeight="1" x14ac:dyDescent="0.25"/>
    <row r="78" s="30" customFormat="1" ht="15.75" customHeight="1" x14ac:dyDescent="0.25"/>
    <row r="79" s="30" customFormat="1" ht="15.75" customHeight="1" x14ac:dyDescent="0.25"/>
    <row r="80" s="30" customFormat="1" ht="15.75" customHeight="1" x14ac:dyDescent="0.25"/>
    <row r="81" s="30" customFormat="1" ht="15.75" customHeight="1" x14ac:dyDescent="0.25"/>
    <row r="82" s="30" customFormat="1" ht="15.75" customHeight="1" x14ac:dyDescent="0.25"/>
    <row r="83" s="30" customFormat="1" ht="15.75" customHeight="1" x14ac:dyDescent="0.25"/>
    <row r="84" s="30" customFormat="1" ht="15.75" customHeight="1" x14ac:dyDescent="0.25"/>
    <row r="85" s="30" customFormat="1" ht="15.75" customHeight="1" x14ac:dyDescent="0.25"/>
    <row r="86" s="30" customFormat="1" ht="15.75" customHeight="1" x14ac:dyDescent="0.25"/>
    <row r="87" s="30" customFormat="1" ht="15.75" customHeight="1" x14ac:dyDescent="0.25"/>
    <row r="88" s="30" customFormat="1" ht="15.75" customHeight="1" x14ac:dyDescent="0.25"/>
    <row r="89" s="30" customFormat="1" ht="15.75" customHeight="1" x14ac:dyDescent="0.25"/>
    <row r="90" s="30" customFormat="1" ht="15.75" customHeight="1" x14ac:dyDescent="0.25"/>
    <row r="91" s="30" customFormat="1" ht="15.75" customHeight="1" x14ac:dyDescent="0.25"/>
    <row r="92" s="30" customFormat="1" ht="15.75" customHeight="1" x14ac:dyDescent="0.25"/>
    <row r="93" s="30" customFormat="1" ht="15.75" customHeight="1" x14ac:dyDescent="0.25"/>
    <row r="94" s="30" customFormat="1" ht="15.75" customHeight="1" x14ac:dyDescent="0.25"/>
    <row r="95" s="30" customFormat="1" ht="15.75" customHeight="1" x14ac:dyDescent="0.25"/>
    <row r="96" s="30" customFormat="1" ht="15.75" customHeight="1" x14ac:dyDescent="0.25"/>
    <row r="97" s="30" customFormat="1" ht="15.75" customHeight="1" x14ac:dyDescent="0.25"/>
    <row r="98" s="30" customFormat="1" ht="15.75" customHeight="1" x14ac:dyDescent="0.25"/>
    <row r="99" s="30" customFormat="1" ht="15.75" customHeight="1" x14ac:dyDescent="0.25"/>
    <row r="100" s="30" customFormat="1" ht="15.75" customHeight="1" x14ac:dyDescent="0.25"/>
  </sheetData>
  <mergeCells count="11">
    <mergeCell ref="A1:U2"/>
    <mergeCell ref="A6:D7"/>
    <mergeCell ref="A4:D5"/>
    <mergeCell ref="E4:H5"/>
    <mergeCell ref="E6:H7"/>
    <mergeCell ref="I4:L5"/>
    <mergeCell ref="I6:L7"/>
    <mergeCell ref="M6:P7"/>
    <mergeCell ref="Q4:T5"/>
    <mergeCell ref="Q6:T7"/>
    <mergeCell ref="M4:P5"/>
  </mergeCells>
  <phoneticPr fontId="20" type="noConversion"/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Data</vt:lpstr>
      <vt:lpstr>Pivot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nikitamavli665@gmail.com</cp:lastModifiedBy>
  <dcterms:created xsi:type="dcterms:W3CDTF">2026-05-08T08:29:32Z</dcterms:created>
  <dcterms:modified xsi:type="dcterms:W3CDTF">2026-05-11T08:23:32Z</dcterms:modified>
</cp:coreProperties>
</file>